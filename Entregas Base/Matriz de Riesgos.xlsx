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iterios y Escalas" sheetId="1" r:id="rId5"/>
    <sheet state="visible" name="Registro y Mitigacion" sheetId="2" r:id="rId6"/>
    <sheet state="visible" name="Mapa de Calor (5x5)" sheetId="3" r:id="rId7"/>
  </sheets>
  <definedNames/>
  <calcPr/>
</workbook>
</file>

<file path=xl/sharedStrings.xml><?xml version="1.0" encoding="utf-8"?>
<sst xmlns="http://schemas.openxmlformats.org/spreadsheetml/2006/main" count="102" uniqueCount="91">
  <si>
    <t>Definición de Probabilidad (Frecuencia)</t>
  </si>
  <si>
    <t>Nivel</t>
  </si>
  <si>
    <t>Descriptor</t>
  </si>
  <si>
    <t>Definición Técnica</t>
  </si>
  <si>
    <t>Muy Baja</t>
  </si>
  <si>
    <t>Evento excepcionalmente raro (menos del 5% de probabilidad).</t>
  </si>
  <si>
    <t>Baja</t>
  </si>
  <si>
    <t>Posible, pero no se espera que ocurra (5% - 20%).</t>
  </si>
  <si>
    <t>Media</t>
  </si>
  <si>
    <t>Podría ocurrir en algún momento del ciclo de vida (20% - 50%).</t>
  </si>
  <si>
    <t>Alta</t>
  </si>
  <si>
    <t>Es muy probable que ocurra (50% - 80%).</t>
  </si>
  <si>
    <t>Muy Alta</t>
  </si>
  <si>
    <t>Evento casi cierto o recurrente (más del 80%).</t>
  </si>
  <si>
    <t>Definición de Impacto (Severidad)</t>
  </si>
  <si>
    <t>Impacto en el Proyecto / Negocio</t>
  </si>
  <si>
    <t>Insignificante</t>
  </si>
  <si>
    <t>Error visual menor. No afecta la operación ni la legalidad.</t>
  </si>
  <si>
    <t>Menor</t>
  </si>
  <si>
    <t>Retraso leve en un Sprint. Molestia menor para el usuario.</t>
  </si>
  <si>
    <t>Moderado</t>
  </si>
  <si>
    <t>Falla funcional parcial. Requiere parche inmediato. Sin multas.</t>
  </si>
  <si>
    <t>Mayor</t>
  </si>
  <si>
    <t>Multas legales o pérdida de confianza del cliente. Falla de seguridad.</t>
  </si>
  <si>
    <t>Catastrófico</t>
  </si>
  <si>
    <t>Fuga de datos masiva o incumplimiento legal que cierra la Pyme.</t>
  </si>
  <si>
    <t>Criterios de Acción (Prioridad)</t>
  </si>
  <si>
    <t>Rango de Puntaje</t>
  </si>
  <si>
    <t>Prioridad</t>
  </si>
  <si>
    <t>Acción Requerida</t>
  </si>
  <si>
    <t>1 - 4 (Verde)</t>
  </si>
  <si>
    <t>Bajo</t>
  </si>
  <si>
    <t>Aceptar el riesgo. Monitoreo periódico.</t>
  </si>
  <si>
    <t>5 - 9 (Amarillo)</t>
  </si>
  <si>
    <t>Medio</t>
  </si>
  <si>
    <t>Mitigar mediante controles de software o procesos.</t>
  </si>
  <si>
    <t>10 - 15 (Naranja)</t>
  </si>
  <si>
    <t>Alto</t>
  </si>
  <si>
    <t>Acción inmediata. Requiere cambio en arquitectura o diseño.</t>
  </si>
  <si>
    <t>16 - 25 (Rojo)</t>
  </si>
  <si>
    <t>Crítico</t>
  </si>
  <si>
    <t>Riesgo inaceptable. El proyecto no puede avanzar sin resolverlo.</t>
  </si>
  <si>
    <t>ID</t>
  </si>
  <si>
    <t>Categoría (Ishikawa)</t>
  </si>
  <si>
    <t>Descripción del Riesgo (Impacto al Negocio/Sistema)</t>
  </si>
  <si>
    <t>P</t>
  </si>
  <si>
    <t>I</t>
  </si>
  <si>
    <t>PxI</t>
  </si>
  <si>
    <t>Plan de Mitigación (ERS / Preventivo)</t>
  </si>
  <si>
    <t>Plan de Contingencia (Reactivo)</t>
  </si>
  <si>
    <t>R01</t>
  </si>
  <si>
    <t>Equipo (Tecnología)</t>
  </si>
  <si>
    <t>Fuga de datos Multi-tenant: Una Pyme accede a contratos o liquidaciones de otra, violando la confidencialidad.</t>
  </si>
  <si>
    <t>Aislamiento lógico en PostgreSQL (RLS) y validación estricta de claims de organización en tokens JWT.</t>
  </si>
  <si>
    <t>Revocación inmediata de tokens activos, bloqueo del tenant afectado y auditoría de accesos.</t>
  </si>
  <si>
    <t>R02</t>
  </si>
  <si>
    <t>Equipo (IA)</t>
  </si>
  <si>
    <t>Alucinación del RAG: El asistente normativo inventa una ley, provocando que la Pyme cometa una infracción laboral.</t>
  </si>
  <si>
    <t>CRÍTICO</t>
  </si>
  <si>
    <t>Implementación de un Gatekeeper de IA y restricción estricta de generar respuestas solo basadas en el PDF oficial.</t>
  </si>
  <si>
    <t>Desactivación temporal del módulo IA y aviso masivo a usuarios; soporte manual derivado a asesores.</t>
  </si>
  <si>
    <t>R03</t>
  </si>
  <si>
    <t>Entorno</t>
  </si>
  <si>
    <t>Falla de Interoperabilidad (Spider): Cambios estructurales en el portal "Mi DT" rompen el scraping del bot.</t>
  </si>
  <si>
    <t>Monitoreo automatizado del script y diseño de selectores CSS/XPath resilientes.</t>
  </si>
  <si>
    <t>Ejecución de carga manual temporal (CSV) por parte de los administradores hasta parchear el bot.</t>
  </si>
  <si>
    <t>R04</t>
  </si>
  <si>
    <t>Proceso (Legal)</t>
  </si>
  <si>
    <t>Pérdida de Trazabilidad y Acuses: Falla en el Audit Log que impide demostrar a la Inspección del Trabajo que el empleado leyó su finiquito.</t>
  </si>
  <si>
    <t>Registro inmutable de transacciones (Logs) y generación de comprobantes con estampa de tiempo.</t>
  </si>
  <si>
    <t>Respaldo secundario de logs en S3 (Cold Storage) inmodificable para recuperación forense.</t>
  </si>
  <si>
    <t>R05</t>
  </si>
  <si>
    <t>Administración</t>
  </si>
  <si>
    <t>Caída por Alta Concurrencia: Sobrecarga del servidor a fin de mes por generación masiva de liquidaciones y cobros.</t>
  </si>
  <si>
    <t>Arquitectura Cloud (AWS/GCP) con auto-escalamiento y caché para garantizar 99.9% de Uptime.</t>
  </si>
  <si>
    <t>Activación de base de datos de réplica de lectura y encolamiento asíncrono de tareas de PDF.</t>
  </si>
  <si>
    <t>R06</t>
  </si>
  <si>
    <t>Personas</t>
  </si>
  <si>
    <t>Resistencia a la Transformación Digital: Clientes prefieren seguir usando WhatsApp y canales informales.</t>
  </si>
  <si>
    <t>Diseño UX/UI altamente intuitivo (Responsive) y notificaciones automáticas vía email/WhatsApp.</t>
  </si>
  <si>
    <t>Campaña de onboarding asistido y restricción gradual de recepción de documentos por vías informales.</t>
  </si>
  <si>
    <t>R07</t>
  </si>
  <si>
    <t>Materiales</t>
  </si>
  <si>
    <t>Pérdida de Documentos Legales: Falla crítica de almacenamiento que corrompe contratos o anexos en la nube.</t>
  </si>
  <si>
    <t>Uso de Buckets S3 con versionamiento activo y encriptación AES-256 en reposo.</t>
  </si>
  <si>
    <t>Restauración desde el backup automatizado nocturno (RTO menor a 4 horas).</t>
  </si>
  <si>
    <t>R08</t>
  </si>
  <si>
    <t>Cuello de Botella en Cobranza: Falla en el módulo de automatización de cobros impide recaudar la mensualidad de las Pymes.</t>
  </si>
  <si>
    <t>Testing exhaustivo de la pasarela de pagos e integración de alertas por cobros fallidos.</t>
  </si>
  <si>
    <t>Generación de links de pago manuales y envío por correo a las Pymes morosas.</t>
  </si>
  <si>
    <t>P \ 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</si>
</sst>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Google Sans Text"/>
    </font>
    <font>
      <b/>
      <color theme="1"/>
      <name val="Google Sans Text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2" fillId="0" fontId="1" numFmtId="0" xfId="0" applyBorder="1" applyFont="1"/>
    <xf borderId="3" fillId="0" fontId="1" numFmtId="0" xfId="0" applyBorder="1" applyFont="1"/>
    <xf borderId="4" fillId="0" fontId="2" numFmtId="0" xfId="0" applyAlignment="1" applyBorder="1" applyFont="1">
      <alignment readingOrder="0"/>
    </xf>
    <xf borderId="4" fillId="0" fontId="3" numFmtId="0" xfId="0" applyAlignment="1" applyBorder="1" applyFont="1">
      <alignment readingOrder="0"/>
    </xf>
    <xf borderId="4" fillId="0" fontId="2" numFmtId="0" xfId="0" applyAlignment="1" applyBorder="1" applyFont="1">
      <alignment readingOrder="0" shrinkToFit="0" wrapText="1"/>
    </xf>
    <xf borderId="4" fillId="0" fontId="3" numFmtId="0" xfId="0" applyAlignment="1" applyBorder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15.75"/>
    <col customWidth="1" min="4" max="4" width="58.13"/>
  </cols>
  <sheetData>
    <row r="2">
      <c r="B2" s="1" t="s">
        <v>0</v>
      </c>
      <c r="C2" s="2"/>
      <c r="D2" s="3"/>
    </row>
    <row r="3">
      <c r="B3" s="4" t="s">
        <v>1</v>
      </c>
      <c r="C3" s="4" t="s">
        <v>2</v>
      </c>
      <c r="D3" s="4" t="s">
        <v>3</v>
      </c>
    </row>
    <row r="4">
      <c r="B4" s="5">
        <v>1.0</v>
      </c>
      <c r="C4" s="4" t="s">
        <v>4</v>
      </c>
      <c r="D4" s="4" t="s">
        <v>5</v>
      </c>
    </row>
    <row r="5">
      <c r="B5" s="5">
        <v>2.0</v>
      </c>
      <c r="C5" s="4" t="s">
        <v>6</v>
      </c>
      <c r="D5" s="4" t="s">
        <v>7</v>
      </c>
    </row>
    <row r="6">
      <c r="B6" s="5">
        <v>3.0</v>
      </c>
      <c r="C6" s="4" t="s">
        <v>8</v>
      </c>
      <c r="D6" s="4" t="s">
        <v>9</v>
      </c>
    </row>
    <row r="7">
      <c r="B7" s="5">
        <v>4.0</v>
      </c>
      <c r="C7" s="4" t="s">
        <v>10</v>
      </c>
      <c r="D7" s="4" t="s">
        <v>11</v>
      </c>
    </row>
    <row r="8">
      <c r="B8" s="5">
        <v>5.0</v>
      </c>
      <c r="C8" s="4" t="s">
        <v>12</v>
      </c>
      <c r="D8" s="4" t="s">
        <v>13</v>
      </c>
    </row>
    <row r="10">
      <c r="B10" s="1" t="s">
        <v>14</v>
      </c>
      <c r="C10" s="2"/>
      <c r="D10" s="3"/>
    </row>
    <row r="11">
      <c r="B11" s="4" t="s">
        <v>1</v>
      </c>
      <c r="C11" s="4" t="s">
        <v>2</v>
      </c>
      <c r="D11" s="4" t="s">
        <v>15</v>
      </c>
    </row>
    <row r="12">
      <c r="B12" s="5">
        <v>1.0</v>
      </c>
      <c r="C12" s="4" t="s">
        <v>16</v>
      </c>
      <c r="D12" s="4" t="s">
        <v>17</v>
      </c>
    </row>
    <row r="13">
      <c r="B13" s="5">
        <v>2.0</v>
      </c>
      <c r="C13" s="4" t="s">
        <v>18</v>
      </c>
      <c r="D13" s="4" t="s">
        <v>19</v>
      </c>
    </row>
    <row r="14">
      <c r="B14" s="5">
        <v>3.0</v>
      </c>
      <c r="C14" s="4" t="s">
        <v>20</v>
      </c>
      <c r="D14" s="4" t="s">
        <v>21</v>
      </c>
    </row>
    <row r="15">
      <c r="B15" s="5">
        <v>4.0</v>
      </c>
      <c r="C15" s="4" t="s">
        <v>22</v>
      </c>
      <c r="D15" s="5" t="s">
        <v>23</v>
      </c>
    </row>
    <row r="16">
      <c r="B16" s="5">
        <v>5.0</v>
      </c>
      <c r="C16" s="4" t="s">
        <v>24</v>
      </c>
      <c r="D16" s="5" t="s">
        <v>25</v>
      </c>
    </row>
    <row r="18">
      <c r="B18" s="1" t="s">
        <v>26</v>
      </c>
      <c r="C18" s="2"/>
      <c r="D18" s="3"/>
    </row>
    <row r="19">
      <c r="B19" s="4" t="s">
        <v>27</v>
      </c>
      <c r="C19" s="4" t="s">
        <v>28</v>
      </c>
      <c r="D19" s="4" t="s">
        <v>29</v>
      </c>
    </row>
    <row r="20">
      <c r="B20" s="5" t="s">
        <v>30</v>
      </c>
      <c r="C20" s="5" t="s">
        <v>31</v>
      </c>
      <c r="D20" s="4" t="s">
        <v>32</v>
      </c>
    </row>
    <row r="21">
      <c r="B21" s="5" t="s">
        <v>33</v>
      </c>
      <c r="C21" s="5" t="s">
        <v>34</v>
      </c>
      <c r="D21" s="4" t="s">
        <v>35</v>
      </c>
    </row>
    <row r="22">
      <c r="B22" s="5" t="s">
        <v>36</v>
      </c>
      <c r="C22" s="5" t="s">
        <v>37</v>
      </c>
      <c r="D22" s="4" t="s">
        <v>38</v>
      </c>
    </row>
    <row r="23">
      <c r="B23" s="5" t="s">
        <v>39</v>
      </c>
      <c r="C23" s="5" t="s">
        <v>40</v>
      </c>
      <c r="D23" s="4" t="s">
        <v>41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5"/>
    <col customWidth="1" min="3" max="3" width="18.5"/>
    <col customWidth="1" min="4" max="4" width="53.25"/>
    <col customWidth="1" min="9" max="9" width="39.75"/>
    <col customWidth="1" min="10" max="10" width="42.0"/>
  </cols>
  <sheetData>
    <row r="2">
      <c r="B2" s="4" t="s">
        <v>42</v>
      </c>
      <c r="C2" s="4" t="s">
        <v>43</v>
      </c>
      <c r="D2" s="6" t="s">
        <v>44</v>
      </c>
      <c r="E2" s="4" t="s">
        <v>45</v>
      </c>
      <c r="F2" s="4" t="s">
        <v>46</v>
      </c>
      <c r="G2" s="4" t="s">
        <v>47</v>
      </c>
      <c r="H2" s="4" t="s">
        <v>28</v>
      </c>
      <c r="I2" s="4" t="s">
        <v>48</v>
      </c>
      <c r="J2" s="4" t="s">
        <v>49</v>
      </c>
    </row>
    <row r="3">
      <c r="B3" s="5" t="s">
        <v>50</v>
      </c>
      <c r="C3" s="5" t="s">
        <v>51</v>
      </c>
      <c r="D3" s="7" t="s">
        <v>52</v>
      </c>
      <c r="E3" s="4">
        <v>2.0</v>
      </c>
      <c r="F3" s="4">
        <v>5.0</v>
      </c>
      <c r="G3" s="5">
        <v>10.0</v>
      </c>
      <c r="H3" s="5" t="s">
        <v>34</v>
      </c>
      <c r="I3" s="6" t="s">
        <v>53</v>
      </c>
      <c r="J3" s="6" t="s">
        <v>54</v>
      </c>
    </row>
    <row r="4">
      <c r="B4" s="5" t="s">
        <v>55</v>
      </c>
      <c r="C4" s="5" t="s">
        <v>56</v>
      </c>
      <c r="D4" s="7" t="s">
        <v>57</v>
      </c>
      <c r="E4" s="4">
        <v>3.0</v>
      </c>
      <c r="F4" s="4">
        <v>5.0</v>
      </c>
      <c r="G4" s="5">
        <v>15.0</v>
      </c>
      <c r="H4" s="5" t="s">
        <v>58</v>
      </c>
      <c r="I4" s="6" t="s">
        <v>59</v>
      </c>
      <c r="J4" s="6" t="s">
        <v>60</v>
      </c>
    </row>
    <row r="5">
      <c r="B5" s="5" t="s">
        <v>61</v>
      </c>
      <c r="C5" s="5" t="s">
        <v>62</v>
      </c>
      <c r="D5" s="7" t="s">
        <v>63</v>
      </c>
      <c r="E5" s="4">
        <v>4.0</v>
      </c>
      <c r="F5" s="4">
        <v>4.0</v>
      </c>
      <c r="G5" s="5">
        <v>16.0</v>
      </c>
      <c r="H5" s="5" t="s">
        <v>58</v>
      </c>
      <c r="I5" s="6" t="s">
        <v>64</v>
      </c>
      <c r="J5" s="6" t="s">
        <v>65</v>
      </c>
    </row>
    <row r="6">
      <c r="B6" s="5" t="s">
        <v>66</v>
      </c>
      <c r="C6" s="5" t="s">
        <v>67</v>
      </c>
      <c r="D6" s="7" t="s">
        <v>68</v>
      </c>
      <c r="E6" s="4">
        <v>2.0</v>
      </c>
      <c r="F6" s="4">
        <v>5.0</v>
      </c>
      <c r="G6" s="5">
        <v>10.0</v>
      </c>
      <c r="H6" s="5" t="s">
        <v>34</v>
      </c>
      <c r="I6" s="6" t="s">
        <v>69</v>
      </c>
      <c r="J6" s="6" t="s">
        <v>70</v>
      </c>
    </row>
    <row r="7">
      <c r="B7" s="5" t="s">
        <v>71</v>
      </c>
      <c r="C7" s="5" t="s">
        <v>72</v>
      </c>
      <c r="D7" s="7" t="s">
        <v>73</v>
      </c>
      <c r="E7" s="4">
        <v>3.0</v>
      </c>
      <c r="F7" s="4">
        <v>4.0</v>
      </c>
      <c r="G7" s="5">
        <v>12.0</v>
      </c>
      <c r="H7" s="5" t="s">
        <v>37</v>
      </c>
      <c r="I7" s="6" t="s">
        <v>74</v>
      </c>
      <c r="J7" s="6" t="s">
        <v>75</v>
      </c>
    </row>
    <row r="8">
      <c r="B8" s="5" t="s">
        <v>76</v>
      </c>
      <c r="C8" s="5" t="s">
        <v>77</v>
      </c>
      <c r="D8" s="7" t="s">
        <v>78</v>
      </c>
      <c r="E8" s="4">
        <v>4.0</v>
      </c>
      <c r="F8" s="4">
        <v>3.0</v>
      </c>
      <c r="G8" s="5">
        <v>12.0</v>
      </c>
      <c r="H8" s="5" t="s">
        <v>37</v>
      </c>
      <c r="I8" s="6" t="s">
        <v>79</v>
      </c>
      <c r="J8" s="6" t="s">
        <v>80</v>
      </c>
    </row>
    <row r="9">
      <c r="B9" s="5" t="s">
        <v>81</v>
      </c>
      <c r="C9" s="5" t="s">
        <v>82</v>
      </c>
      <c r="D9" s="7" t="s">
        <v>83</v>
      </c>
      <c r="E9" s="4">
        <v>1.0</v>
      </c>
      <c r="F9" s="4">
        <v>5.0</v>
      </c>
      <c r="G9" s="5">
        <v>5.0</v>
      </c>
      <c r="H9" s="5" t="s">
        <v>31</v>
      </c>
      <c r="I9" s="6" t="s">
        <v>84</v>
      </c>
      <c r="J9" s="6" t="s">
        <v>85</v>
      </c>
    </row>
    <row r="10">
      <c r="B10" s="5" t="s">
        <v>86</v>
      </c>
      <c r="C10" s="5" t="s">
        <v>72</v>
      </c>
      <c r="D10" s="7" t="s">
        <v>87</v>
      </c>
      <c r="E10" s="4">
        <v>2.0</v>
      </c>
      <c r="F10" s="4">
        <v>4.0</v>
      </c>
      <c r="G10" s="5">
        <v>8.0</v>
      </c>
      <c r="H10" s="5" t="s">
        <v>34</v>
      </c>
      <c r="I10" s="6" t="s">
        <v>88</v>
      </c>
      <c r="J10" s="6" t="s">
        <v>89</v>
      </c>
    </row>
  </sheetData>
  <conditionalFormatting sqref="G3:G10">
    <cfRule type="colorScale" priority="1">
      <colorScale>
        <cfvo type="formula" val="1"/>
        <cfvo type="formula" val="10"/>
        <cfvo type="formula" val="25"/>
        <color rgb="FF93C47D"/>
        <color rgb="FFFFD966"/>
        <color rgb="FFCC0000"/>
      </colorScale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63"/>
  </cols>
  <sheetData>
    <row r="2" ht="44.25" customHeight="1">
      <c r="B2" s="4" t="s">
        <v>90</v>
      </c>
      <c r="C2" s="4">
        <v>1.0</v>
      </c>
      <c r="D2" s="4">
        <v>2.0</v>
      </c>
      <c r="E2" s="4">
        <v>3.0</v>
      </c>
      <c r="F2" s="4">
        <v>4.0</v>
      </c>
      <c r="G2" s="4">
        <v>5.0</v>
      </c>
    </row>
    <row r="3" ht="44.25" customHeight="1">
      <c r="B3" s="5">
        <v>5.0</v>
      </c>
      <c r="C3" s="4">
        <f t="shared" ref="C3:G3" si="1">C$2*$B3</f>
        <v>5</v>
      </c>
      <c r="D3" s="4">
        <f t="shared" si="1"/>
        <v>10</v>
      </c>
      <c r="E3" s="4">
        <f t="shared" si="1"/>
        <v>15</v>
      </c>
      <c r="F3" s="4">
        <f t="shared" si="1"/>
        <v>20</v>
      </c>
      <c r="G3" s="4">
        <f t="shared" si="1"/>
        <v>25</v>
      </c>
    </row>
    <row r="4" ht="44.25" customHeight="1">
      <c r="B4" s="5">
        <v>4.0</v>
      </c>
      <c r="C4" s="4">
        <f t="shared" ref="C4:G4" si="2">C$2*$B4</f>
        <v>4</v>
      </c>
      <c r="D4" s="4">
        <f t="shared" si="2"/>
        <v>8</v>
      </c>
      <c r="E4" s="4">
        <f t="shared" si="2"/>
        <v>12</v>
      </c>
      <c r="F4" s="4">
        <f t="shared" si="2"/>
        <v>16</v>
      </c>
      <c r="G4" s="4">
        <f t="shared" si="2"/>
        <v>20</v>
      </c>
    </row>
    <row r="5" ht="44.25" customHeight="1">
      <c r="B5" s="5">
        <v>3.0</v>
      </c>
      <c r="C5" s="4">
        <f t="shared" ref="C5:G5" si="3">C$2*$B5</f>
        <v>3</v>
      </c>
      <c r="D5" s="4">
        <f t="shared" si="3"/>
        <v>6</v>
      </c>
      <c r="E5" s="4">
        <f t="shared" si="3"/>
        <v>9</v>
      </c>
      <c r="F5" s="4">
        <f t="shared" si="3"/>
        <v>12</v>
      </c>
      <c r="G5" s="4">
        <f t="shared" si="3"/>
        <v>15</v>
      </c>
    </row>
    <row r="6" ht="44.25" customHeight="1">
      <c r="B6" s="5">
        <v>2.0</v>
      </c>
      <c r="C6" s="4">
        <f t="shared" ref="C6:G6" si="4">C$2*$B6</f>
        <v>2</v>
      </c>
      <c r="D6" s="4">
        <f t="shared" si="4"/>
        <v>4</v>
      </c>
      <c r="E6" s="4">
        <f t="shared" si="4"/>
        <v>6</v>
      </c>
      <c r="F6" s="4">
        <f t="shared" si="4"/>
        <v>8</v>
      </c>
      <c r="G6" s="4">
        <f t="shared" si="4"/>
        <v>10</v>
      </c>
    </row>
    <row r="7" ht="44.25" customHeight="1">
      <c r="B7" s="5">
        <v>1.0</v>
      </c>
      <c r="C7" s="4">
        <f t="shared" ref="C7:G7" si="5">C$2*$B7</f>
        <v>1</v>
      </c>
      <c r="D7" s="4">
        <f t="shared" si="5"/>
        <v>2</v>
      </c>
      <c r="E7" s="4">
        <f t="shared" si="5"/>
        <v>3</v>
      </c>
      <c r="F7" s="4">
        <f t="shared" si="5"/>
        <v>4</v>
      </c>
      <c r="G7" s="4">
        <f t="shared" si="5"/>
        <v>5</v>
      </c>
    </row>
  </sheetData>
  <conditionalFormatting sqref="C3:G7">
    <cfRule type="colorScale" priority="1">
      <colorScale>
        <cfvo type="formula" val="1"/>
        <cfvo type="formula" val="10"/>
        <cfvo type="formula" val="25"/>
        <color rgb="FF93C47D"/>
        <color rgb="FFFFD966"/>
        <color rgb="FFCC0000"/>
      </colorScale>
    </cfRule>
  </conditionalFormatting>
  <drawing r:id="rId1"/>
</worksheet>
</file>